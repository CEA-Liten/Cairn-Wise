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JD281179\tuleap\Cairn-Wise\Cairn-Wise\data\"/>
    </mc:Choice>
  </mc:AlternateContent>
  <bookViews>
    <workbookView xWindow="0" yWindow="0" windowWidth="23040" windowHeight="9060" activeTab="3"/>
  </bookViews>
  <sheets>
    <sheet name="Explanation" sheetId="1" r:id="rId1"/>
    <sheet name="Balanza2025" sheetId="2" state="hidden" r:id="rId2"/>
    <sheet name="LCA" sheetId="8" r:id="rId3"/>
    <sheet name="SoSOS" sheetId="9" r:id="rId4"/>
    <sheet name="GF_Balanza_2025" sheetId="4" state="hidden" r:id="rId5"/>
    <sheet name="EPC_GVA" sheetId="5" r:id="rId6"/>
    <sheet name="DLS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9" l="1"/>
  <c r="I3" i="9"/>
  <c r="F3" i="9"/>
  <c r="H3" i="9" s="1"/>
  <c r="J2" i="9"/>
  <c r="G2" i="9"/>
  <c r="I2" i="9" s="1"/>
  <c r="F2" i="9"/>
  <c r="H2" i="9" l="1"/>
  <c r="J3" i="2"/>
  <c r="J4" i="2"/>
  <c r="J5" i="2"/>
  <c r="J6" i="2"/>
  <c r="J7" i="2"/>
  <c r="J8" i="2"/>
  <c r="J9" i="2"/>
  <c r="J10" i="2"/>
  <c r="C2" i="6" l="1"/>
  <c r="I3" i="2" l="1"/>
  <c r="I4" i="2"/>
  <c r="I5" i="2"/>
  <c r="I6" i="2"/>
  <c r="I7" i="2"/>
  <c r="I8" i="2"/>
  <c r="I9" i="2"/>
  <c r="I10" i="2"/>
  <c r="E10" i="4"/>
  <c r="E9" i="4"/>
  <c r="E7" i="4"/>
  <c r="E6" i="4"/>
  <c r="E5" i="4"/>
  <c r="E4" i="4"/>
  <c r="E2" i="4"/>
  <c r="F10" i="2"/>
  <c r="H10" i="2" s="1"/>
  <c r="F9" i="2"/>
  <c r="H9" i="2" s="1"/>
  <c r="H8" i="2"/>
  <c r="F7" i="2"/>
  <c r="H7" i="2" s="1"/>
  <c r="F6" i="2"/>
  <c r="H6" i="2" s="1"/>
  <c r="F5" i="2"/>
  <c r="H5" i="2" s="1"/>
  <c r="F4" i="2"/>
  <c r="H4" i="2" s="1"/>
  <c r="H3" i="2"/>
  <c r="G2" i="2"/>
  <c r="J2" i="2" s="1"/>
  <c r="F2" i="2"/>
  <c r="I2" i="2" l="1"/>
  <c r="H2" i="2"/>
</calcChain>
</file>

<file path=xl/sharedStrings.xml><?xml version="1.0" encoding="utf-8"?>
<sst xmlns="http://schemas.openxmlformats.org/spreadsheetml/2006/main" count="115" uniqueCount="63">
  <si>
    <t xml:space="preserve">A description of each sheet is available here: </t>
  </si>
  <si>
    <t>Grandfathering</t>
  </si>
  <si>
    <t>allocation based on current level of emissions</t>
  </si>
  <si>
    <t>EPC_GVA</t>
  </si>
  <si>
    <t>allocation based on equalitarian principles and consumer preference</t>
  </si>
  <si>
    <t>Correspondence Cairn</t>
  </si>
  <si>
    <t>Acidification#Accumulated Exceedance</t>
  </si>
  <si>
    <t>Climate change#Global Warming Potential 100</t>
  </si>
  <si>
    <t>Ecotoxicity freshwater#Comparative Toxic Unit for ecosystems</t>
  </si>
  <si>
    <t>Eutrophication-Aquatic freshwater#Fraction of nutrients reaching freshwater and compartment</t>
  </si>
  <si>
    <t>Land use#Soil quality index</t>
  </si>
  <si>
    <t>Resource use-Minerals and metals#Abiotic Resource Depletion</t>
  </si>
  <si>
    <t>Ozone depletion#Ozone Depletion Potential</t>
  </si>
  <si>
    <t>Particulate matter-Respiratory inorganics#Human health effects associated with exposure to PM</t>
  </si>
  <si>
    <t>Water use#User Deprivation Potential</t>
  </si>
  <si>
    <t>CTUe</t>
  </si>
  <si>
    <t>kg P eq</t>
  </si>
  <si>
    <t>Unit</t>
  </si>
  <si>
    <t>Impact category</t>
  </si>
  <si>
    <t>Value Electricity and heat sectors Europe, 2019</t>
  </si>
  <si>
    <t>Normalization factor EF, Global</t>
  </si>
  <si>
    <t>SoSOS full Europe</t>
  </si>
  <si>
    <t>Carrying capacity</t>
  </si>
  <si>
    <t xml:space="preserve">Climate change </t>
  </si>
  <si>
    <t>Ozone depletion</t>
  </si>
  <si>
    <t>Particulate matter</t>
  </si>
  <si>
    <t>Acidification</t>
  </si>
  <si>
    <t>Eutrophication, freshwater</t>
  </si>
  <si>
    <t>Ecotoxicity, freshwater</t>
  </si>
  <si>
    <t>Land use</t>
  </si>
  <si>
    <t>Water use</t>
  </si>
  <si>
    <t>Resource use, minerals and metals</t>
  </si>
  <si>
    <t>Onshore wind</t>
  </si>
  <si>
    <t>Offshore wind</t>
  </si>
  <si>
    <t>Solar PV</t>
  </si>
  <si>
    <t>kg CO2 eq</t>
  </si>
  <si>
    <t>Pt</t>
  </si>
  <si>
    <t>Disease inc.</t>
  </si>
  <si>
    <t>kg CFC11 eq</t>
  </si>
  <si>
    <t>m3 depriv.</t>
  </si>
  <si>
    <t>kg Peq</t>
  </si>
  <si>
    <t>mol H+eq</t>
  </si>
  <si>
    <t>kg Sbeq</t>
  </si>
  <si>
    <t>SOS GF</t>
  </si>
  <si>
    <t>SOS EPC_GVA</t>
  </si>
  <si>
    <t xml:space="preserve">European population </t>
  </si>
  <si>
    <t xml:space="preserve">DLS attribution to energy </t>
  </si>
  <si>
    <t>SOS EU</t>
  </si>
  <si>
    <t>SOS DLS</t>
  </si>
  <si>
    <t>Data from Théo Balanza et al. (2025) Environ. Res. Lett. 20 074050</t>
  </si>
  <si>
    <t>SoSOS</t>
  </si>
  <si>
    <t>LCA</t>
  </si>
  <si>
    <t xml:space="preserve">LCA data for onshore wind and PV. </t>
  </si>
  <si>
    <t>DLS</t>
  </si>
  <si>
    <t xml:space="preserve">This file provides data for LCA and SoSOS that are used in the WISE app. </t>
  </si>
  <si>
    <t xml:space="preserve">allocation based on equalitarian principle and Decent Living Standards </t>
  </si>
  <si>
    <t>Source</t>
  </si>
  <si>
    <t xml:space="preserve">Carrying capacities and absolute SoSOS calculated with different allocation methods. </t>
  </si>
  <si>
    <t>order of magnitude</t>
  </si>
  <si>
    <t>Schlesier et al. (2024)</t>
  </si>
  <si>
    <t>10.1016/j.jclepro.2024.141447</t>
  </si>
  <si>
    <t>Balanza et al. (2025)</t>
  </si>
  <si>
    <t>10.1088/1748-9326/ade26b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</si>
</sst>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E+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164" fontId="5" fillId="0" borderId="1" xfId="0" applyNumberFormat="1" applyFont="1" applyFill="1" applyBorder="1" applyAlignment="1" applyProtection="1">
      <alignment horizontal="center" vertical="center" wrapText="1"/>
    </xf>
    <xf numFmtId="10" fontId="5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164" fontId="7" fillId="0" borderId="1" xfId="0" applyNumberFormat="1" applyFont="1" applyFill="1" applyBorder="1" applyAlignment="1" applyProtection="1">
      <alignment horizontal="center" vertical="center" wrapText="1"/>
    </xf>
    <xf numFmtId="10" fontId="7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/>
    </xf>
    <xf numFmtId="11" fontId="7" fillId="0" borderId="1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/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164" fontId="7" fillId="0" borderId="1" xfId="0" applyNumberFormat="1" applyFont="1" applyFill="1" applyBorder="1" applyAlignment="1" applyProtection="1">
      <alignment vertical="center"/>
    </xf>
    <xf numFmtId="10" fontId="3" fillId="0" borderId="1" xfId="0" applyNumberFormat="1" applyFont="1" applyFill="1" applyBorder="1" applyAlignment="1" applyProtection="1">
      <alignment horizontal="center" vertical="center" wrapText="1"/>
    </xf>
    <xf numFmtId="11" fontId="8" fillId="0" borderId="1" xfId="0" applyNumberFormat="1" applyFont="1" applyFill="1" applyBorder="1" applyAlignment="1" applyProtection="1">
      <alignment horizontal="center" vertical="center"/>
    </xf>
    <xf numFmtId="11" fontId="8" fillId="0" borderId="1" xfId="0" applyNumberFormat="1" applyFont="1" applyBorder="1" applyAlignment="1">
      <alignment vertical="center"/>
    </xf>
    <xf numFmtId="0" fontId="0" fillId="0" borderId="0" xfId="0" applyAlignment="1">
      <alignment wrapText="1"/>
    </xf>
    <xf numFmtId="10" fontId="0" fillId="0" borderId="0" xfId="0" applyNumberFormat="1"/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left" wrapText="1"/>
    </xf>
    <xf numFmtId="0" fontId="7" fillId="0" borderId="0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B23" sqref="B23"/>
    </sheetView>
  </sheetViews>
  <sheetFormatPr baseColWidth="10" defaultRowHeight="15" x14ac:dyDescent="0.25"/>
  <cols>
    <col min="1" max="1" width="26.85546875" customWidth="1"/>
    <col min="2" max="2" width="63" bestFit="1" customWidth="1"/>
    <col min="3" max="3" width="19.42578125" customWidth="1"/>
    <col min="4" max="4" width="27.28515625" bestFit="1" customWidth="1"/>
  </cols>
  <sheetData>
    <row r="1" spans="1:4" x14ac:dyDescent="0.25">
      <c r="A1" s="25" t="s">
        <v>54</v>
      </c>
      <c r="B1" s="25"/>
      <c r="C1" t="s">
        <v>56</v>
      </c>
    </row>
    <row r="2" spans="1:4" x14ac:dyDescent="0.25">
      <c r="A2" t="s">
        <v>0</v>
      </c>
    </row>
    <row r="4" spans="1:4" x14ac:dyDescent="0.25">
      <c r="A4" s="24" t="s">
        <v>51</v>
      </c>
      <c r="B4" t="s">
        <v>52</v>
      </c>
      <c r="C4" s="21" t="s">
        <v>58</v>
      </c>
    </row>
    <row r="5" spans="1:4" ht="30" x14ac:dyDescent="0.25">
      <c r="A5" s="24" t="s">
        <v>50</v>
      </c>
      <c r="B5" s="21" t="s">
        <v>57</v>
      </c>
      <c r="C5" s="21"/>
    </row>
    <row r="6" spans="1:4" x14ac:dyDescent="0.25">
      <c r="A6" s="24" t="s">
        <v>1</v>
      </c>
      <c r="B6" t="s">
        <v>2</v>
      </c>
      <c r="C6" t="s">
        <v>61</v>
      </c>
      <c r="D6" t="s">
        <v>62</v>
      </c>
    </row>
    <row r="7" spans="1:4" x14ac:dyDescent="0.25">
      <c r="A7" s="24" t="s">
        <v>3</v>
      </c>
      <c r="B7" t="s">
        <v>4</v>
      </c>
      <c r="C7" t="s">
        <v>61</v>
      </c>
      <c r="D7" t="s">
        <v>62</v>
      </c>
    </row>
    <row r="8" spans="1:4" x14ac:dyDescent="0.25">
      <c r="A8" s="24" t="s">
        <v>53</v>
      </c>
      <c r="B8" t="s">
        <v>55</v>
      </c>
      <c r="C8" t="s">
        <v>59</v>
      </c>
      <c r="D8" t="s">
        <v>60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M11" sqref="A1:M11"/>
    </sheetView>
  </sheetViews>
  <sheetFormatPr baseColWidth="10" defaultColWidth="11.42578125" defaultRowHeight="15" x14ac:dyDescent="0.25"/>
  <cols>
    <col min="1" max="1" width="17.85546875" style="5" customWidth="1"/>
    <col min="2" max="2" width="12.5703125" style="6" customWidth="1"/>
    <col min="3" max="3" width="25.42578125" style="5" customWidth="1"/>
    <col min="4" max="9" width="11.42578125" style="5"/>
    <col min="10" max="10" width="12" style="5" bestFit="1" customWidth="1"/>
    <col min="11" max="11" width="11.42578125" style="5"/>
    <col min="12" max="12" width="0" style="5" hidden="1" customWidth="1"/>
    <col min="13" max="16384" width="11.42578125" style="5"/>
  </cols>
  <sheetData>
    <row r="1" spans="1:13" ht="90" x14ac:dyDescent="0.25">
      <c r="A1" s="13" t="s">
        <v>18</v>
      </c>
      <c r="B1" s="14" t="s">
        <v>17</v>
      </c>
      <c r="C1" s="13" t="s">
        <v>5</v>
      </c>
      <c r="D1" s="13" t="s">
        <v>19</v>
      </c>
      <c r="E1" s="13" t="s">
        <v>20</v>
      </c>
      <c r="F1" s="13" t="s">
        <v>21</v>
      </c>
      <c r="G1" s="13" t="s">
        <v>22</v>
      </c>
      <c r="H1" s="13" t="s">
        <v>43</v>
      </c>
      <c r="I1" s="13" t="s">
        <v>44</v>
      </c>
      <c r="J1" s="23" t="s">
        <v>48</v>
      </c>
      <c r="K1" s="13" t="s">
        <v>32</v>
      </c>
      <c r="L1" s="13" t="s">
        <v>33</v>
      </c>
      <c r="M1" s="13" t="s">
        <v>34</v>
      </c>
    </row>
    <row r="2" spans="1:13" ht="44.25" customHeight="1" x14ac:dyDescent="0.25">
      <c r="A2" s="7" t="s">
        <v>23</v>
      </c>
      <c r="B2" s="12" t="s">
        <v>35</v>
      </c>
      <c r="C2" s="15" t="s">
        <v>7</v>
      </c>
      <c r="D2" s="8">
        <v>967000000000</v>
      </c>
      <c r="E2" s="8">
        <v>55500000000000</v>
      </c>
      <c r="F2" s="9">
        <f>D2/E2</f>
        <v>1.7423423423423422E-2</v>
      </c>
      <c r="G2" s="10">
        <f>6.81*10^12</f>
        <v>6810000000000</v>
      </c>
      <c r="H2" s="19">
        <f t="shared" ref="H2:H10" si="0">F2*G2</f>
        <v>118653513513.5135</v>
      </c>
      <c r="I2" s="20">
        <f>EPC_GVA!$B$1*G2</f>
        <v>9261600000</v>
      </c>
      <c r="J2" s="19">
        <f>DLS!$C$2*Balanza2025!G2</f>
        <v>37455000000</v>
      </c>
      <c r="K2" s="17">
        <v>1050000.86666667</v>
      </c>
      <c r="L2" s="17">
        <v>860915.9</v>
      </c>
      <c r="M2" s="17">
        <v>840000</v>
      </c>
    </row>
    <row r="3" spans="1:13" ht="51" hidden="1" customHeight="1" x14ac:dyDescent="0.25">
      <c r="A3" s="7" t="s">
        <v>24</v>
      </c>
      <c r="B3" s="12" t="s">
        <v>38</v>
      </c>
      <c r="C3" s="15" t="s">
        <v>12</v>
      </c>
      <c r="D3" s="8">
        <v>74700</v>
      </c>
      <c r="E3" s="8">
        <v>333000000</v>
      </c>
      <c r="F3" s="9">
        <v>2.0209964411841848E-4</v>
      </c>
      <c r="G3" s="11">
        <v>593000000</v>
      </c>
      <c r="H3" s="19">
        <f t="shared" si="0"/>
        <v>119845.08896222216</v>
      </c>
      <c r="I3" s="20">
        <f>EPC_GVA!$B$1*G3</f>
        <v>806480</v>
      </c>
      <c r="J3" s="19">
        <f>DLS!$C$2*Balanza2025!G3</f>
        <v>3261500.0000000005</v>
      </c>
      <c r="K3" s="17">
        <v>7.9083100000000003E-2</v>
      </c>
      <c r="L3" s="17">
        <v>4.5251599500000003E-2</v>
      </c>
      <c r="M3" s="17">
        <v>4.3099999999999999E-2</v>
      </c>
    </row>
    <row r="4" spans="1:13" ht="57" hidden="1" customHeight="1" x14ac:dyDescent="0.25">
      <c r="A4" s="7" t="s">
        <v>25</v>
      </c>
      <c r="B4" s="12" t="s">
        <v>37</v>
      </c>
      <c r="C4" s="16" t="s">
        <v>13</v>
      </c>
      <c r="D4" s="8">
        <v>16200</v>
      </c>
      <c r="E4" s="8">
        <v>4110000</v>
      </c>
      <c r="F4" s="9">
        <f>D4/E4</f>
        <v>3.9416058394160583E-3</v>
      </c>
      <c r="G4" s="11">
        <v>516000</v>
      </c>
      <c r="H4" s="19">
        <f t="shared" si="0"/>
        <v>2033.868613138686</v>
      </c>
      <c r="I4" s="20">
        <f>EPC_GVA!$B$1*G4</f>
        <v>701.7600000000001</v>
      </c>
      <c r="J4" s="19">
        <f>DLS!$C$2*Balanza2025!G4</f>
        <v>2838.0000000000005</v>
      </c>
      <c r="K4" s="17">
        <v>0.11399151111111111</v>
      </c>
      <c r="L4" s="17">
        <v>7.0691624999999994E-2</v>
      </c>
      <c r="M4" s="17">
        <v>6.2600000000000003E-2</v>
      </c>
    </row>
    <row r="5" spans="1:13" ht="33" hidden="1" customHeight="1" x14ac:dyDescent="0.25">
      <c r="A5" s="7" t="s">
        <v>26</v>
      </c>
      <c r="B5" s="12" t="s">
        <v>41</v>
      </c>
      <c r="C5" s="15" t="s">
        <v>6</v>
      </c>
      <c r="D5" s="8">
        <v>2810000000</v>
      </c>
      <c r="E5" s="8">
        <v>383000000000</v>
      </c>
      <c r="F5" s="9">
        <f>D5/E5</f>
        <v>7.3368146214099214E-3</v>
      </c>
      <c r="G5" s="11">
        <v>1000000000000</v>
      </c>
      <c r="H5" s="19">
        <f t="shared" si="0"/>
        <v>7336814621.4099216</v>
      </c>
      <c r="I5" s="20">
        <f>EPC_GVA!$B$1*G5</f>
        <v>1360000000</v>
      </c>
      <c r="J5" s="19">
        <f>DLS!$C$2*Balanza2025!G5</f>
        <v>5500000000.000001</v>
      </c>
      <c r="K5" s="17">
        <v>12277.126222222221</v>
      </c>
      <c r="L5" s="17">
        <v>5407.5985000000001</v>
      </c>
      <c r="M5" s="17">
        <v>5390</v>
      </c>
    </row>
    <row r="6" spans="1:13" ht="75" x14ac:dyDescent="0.25">
      <c r="A6" s="7" t="s">
        <v>27</v>
      </c>
      <c r="B6" s="12" t="s">
        <v>40</v>
      </c>
      <c r="C6" s="16" t="s">
        <v>9</v>
      </c>
      <c r="D6" s="8">
        <v>313000000</v>
      </c>
      <c r="E6" s="8">
        <v>11100000000</v>
      </c>
      <c r="F6" s="9">
        <f>D6/E6</f>
        <v>2.8198198198198198E-2</v>
      </c>
      <c r="G6" s="11">
        <v>5810000000</v>
      </c>
      <c r="H6" s="19">
        <f t="shared" si="0"/>
        <v>163831531.53153154</v>
      </c>
      <c r="I6" s="20">
        <f>EPC_GVA!$B$1*G6</f>
        <v>7901600.0000000009</v>
      </c>
      <c r="J6" s="19">
        <f>DLS!$C$2*Balanza2025!G6</f>
        <v>31955000.000000004</v>
      </c>
      <c r="K6" s="17">
        <v>920</v>
      </c>
      <c r="L6" s="17">
        <v>348.61687499999999</v>
      </c>
      <c r="M6" s="17">
        <v>250</v>
      </c>
    </row>
    <row r="7" spans="1:13" ht="43.5" hidden="1" customHeight="1" x14ac:dyDescent="0.25">
      <c r="A7" s="7" t="s">
        <v>28</v>
      </c>
      <c r="B7" s="1" t="s">
        <v>15</v>
      </c>
      <c r="C7" s="16" t="s">
        <v>8</v>
      </c>
      <c r="D7" s="8">
        <v>14500000000000</v>
      </c>
      <c r="E7" s="8">
        <v>294000000000000</v>
      </c>
      <c r="F7" s="9">
        <f>D7/E7</f>
        <v>4.9319727891156462E-2</v>
      </c>
      <c r="G7" s="11">
        <v>131000000000000</v>
      </c>
      <c r="H7" s="19">
        <f t="shared" si="0"/>
        <v>6460884353741.4961</v>
      </c>
      <c r="I7" s="20">
        <f>EPC_GVA!$B$1*G7</f>
        <v>178160000000</v>
      </c>
      <c r="J7" s="19">
        <f>DLS!$C$2*Balanza2025!G7</f>
        <v>720500000000.00012</v>
      </c>
      <c r="K7" s="17">
        <v>85793315.555555552</v>
      </c>
      <c r="L7" s="17">
        <v>29308514.5</v>
      </c>
      <c r="M7" s="17">
        <v>29100000</v>
      </c>
    </row>
    <row r="8" spans="1:13" ht="33.75" hidden="1" customHeight="1" x14ac:dyDescent="0.25">
      <c r="A8" s="7" t="s">
        <v>29</v>
      </c>
      <c r="B8" s="12" t="s">
        <v>36</v>
      </c>
      <c r="C8" s="15" t="s">
        <v>10</v>
      </c>
      <c r="D8" s="8">
        <v>3800000000000</v>
      </c>
      <c r="E8" s="8">
        <v>7190000000000000</v>
      </c>
      <c r="F8" s="9">
        <v>6.7283632722243438E-4</v>
      </c>
      <c r="G8" s="10">
        <v>5200000000000000</v>
      </c>
      <c r="H8" s="19">
        <f t="shared" si="0"/>
        <v>3498748901556.6587</v>
      </c>
      <c r="I8" s="20">
        <f>EPC_GVA!$B$1*G8</f>
        <v>7072000000000.001</v>
      </c>
      <c r="J8" s="19">
        <f>DLS!$C$2*Balanza2025!G8</f>
        <v>28600000000000.004</v>
      </c>
      <c r="K8" s="17">
        <v>12548669.777777778</v>
      </c>
      <c r="L8" s="17">
        <v>4084435.35</v>
      </c>
      <c r="M8" s="17">
        <v>25600000</v>
      </c>
    </row>
    <row r="9" spans="1:13" ht="30" hidden="1" x14ac:dyDescent="0.25">
      <c r="A9" s="7" t="s">
        <v>30</v>
      </c>
      <c r="B9" s="12" t="s">
        <v>39</v>
      </c>
      <c r="C9" s="15" t="s">
        <v>14</v>
      </c>
      <c r="D9" s="8">
        <v>130000000000</v>
      </c>
      <c r="E9" s="8">
        <v>78900000000000</v>
      </c>
      <c r="F9" s="9">
        <f>D9/E9</f>
        <v>1.6476552598225602E-3</v>
      </c>
      <c r="G9" s="11">
        <v>182000000000000</v>
      </c>
      <c r="H9" s="19">
        <f t="shared" si="0"/>
        <v>299873257287.70593</v>
      </c>
      <c r="I9" s="20">
        <f>EPC_GVA!$B$1*G9</f>
        <v>247520000000.00003</v>
      </c>
      <c r="J9" s="19">
        <f>DLS!$C$2*Balanza2025!G9</f>
        <v>1001000000000.0001</v>
      </c>
      <c r="K9" s="17">
        <v>496397.60000000003</v>
      </c>
      <c r="L9" s="17">
        <v>450060.15</v>
      </c>
      <c r="M9" s="17">
        <v>246000</v>
      </c>
    </row>
    <row r="10" spans="1:13" ht="45.75" hidden="1" customHeight="1" x14ac:dyDescent="0.25">
      <c r="A10" s="7" t="s">
        <v>31</v>
      </c>
      <c r="B10" s="12" t="s">
        <v>42</v>
      </c>
      <c r="C10" s="16" t="s">
        <v>11</v>
      </c>
      <c r="D10" s="8">
        <v>3860000</v>
      </c>
      <c r="E10" s="8">
        <v>439000000</v>
      </c>
      <c r="F10" s="9">
        <f>D10/E10</f>
        <v>8.7927107061503418E-3</v>
      </c>
      <c r="G10" s="11">
        <v>219000000</v>
      </c>
      <c r="H10" s="19">
        <f t="shared" si="0"/>
        <v>1925603.6446469249</v>
      </c>
      <c r="I10" s="20">
        <f>EPC_GVA!$B$1*G10</f>
        <v>297840</v>
      </c>
      <c r="J10" s="19">
        <f>DLS!$C$2*Balanza2025!G10</f>
        <v>1204500.0000000002</v>
      </c>
      <c r="K10" s="17">
        <v>212.18074888888887</v>
      </c>
      <c r="L10" s="17">
        <v>47.693096500000003</v>
      </c>
      <c r="M10" s="17">
        <v>96.2</v>
      </c>
    </row>
  </sheetData>
  <conditionalFormatting sqref="K2:M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8:M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M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7:M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:M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M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9:M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:M1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:M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E3" sqref="E3"/>
    </sheetView>
  </sheetViews>
  <sheetFormatPr baseColWidth="10" defaultRowHeight="15" x14ac:dyDescent="0.25"/>
  <cols>
    <col min="1" max="1" width="11.140625" bestFit="1" customWidth="1"/>
    <col min="3" max="3" width="30.42578125" bestFit="1" customWidth="1"/>
  </cols>
  <sheetData>
    <row r="1" spans="1:5" s="5" customFormat="1" ht="30" x14ac:dyDescent="0.25">
      <c r="A1" s="13" t="s">
        <v>18</v>
      </c>
      <c r="B1" s="14" t="s">
        <v>17</v>
      </c>
      <c r="C1" s="13" t="s">
        <v>5</v>
      </c>
      <c r="D1" s="13" t="s">
        <v>32</v>
      </c>
      <c r="E1" s="13" t="s">
        <v>34</v>
      </c>
    </row>
    <row r="2" spans="1:5" s="5" customFormat="1" ht="30" x14ac:dyDescent="0.25">
      <c r="A2" s="7" t="s">
        <v>23</v>
      </c>
      <c r="B2" s="12" t="s">
        <v>35</v>
      </c>
      <c r="C2" s="15" t="s">
        <v>7</v>
      </c>
      <c r="D2" s="17">
        <v>1000000</v>
      </c>
      <c r="E2" s="17">
        <v>850000</v>
      </c>
    </row>
    <row r="3" spans="1:5" s="5" customFormat="1" ht="78" customHeight="1" x14ac:dyDescent="0.25">
      <c r="A3" s="7" t="s">
        <v>27</v>
      </c>
      <c r="B3" s="12" t="s">
        <v>40</v>
      </c>
      <c r="C3" s="16" t="s">
        <v>9</v>
      </c>
      <c r="D3" s="17">
        <v>920</v>
      </c>
      <c r="E3" s="17">
        <v>250</v>
      </c>
    </row>
  </sheetData>
  <conditionalFormatting sqref="D2:E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:E3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L2" sqref="L2"/>
    </sheetView>
  </sheetViews>
  <sheetFormatPr baseColWidth="10" defaultRowHeight="15" x14ac:dyDescent="0.25"/>
  <sheetData>
    <row r="1" spans="1:10" ht="90" x14ac:dyDescent="0.25">
      <c r="A1" s="13" t="s">
        <v>18</v>
      </c>
      <c r="B1" s="14" t="s">
        <v>17</v>
      </c>
      <c r="C1" s="13" t="s">
        <v>5</v>
      </c>
      <c r="D1" s="13" t="s">
        <v>19</v>
      </c>
      <c r="E1" s="13" t="s">
        <v>20</v>
      </c>
      <c r="F1" s="13" t="s">
        <v>21</v>
      </c>
      <c r="G1" s="13" t="s">
        <v>22</v>
      </c>
      <c r="H1" s="13" t="s">
        <v>43</v>
      </c>
      <c r="I1" s="13" t="s">
        <v>44</v>
      </c>
      <c r="J1" s="23" t="s">
        <v>48</v>
      </c>
    </row>
    <row r="2" spans="1:10" ht="90" x14ac:dyDescent="0.25">
      <c r="A2" s="7" t="s">
        <v>23</v>
      </c>
      <c r="B2" s="12" t="s">
        <v>35</v>
      </c>
      <c r="C2" s="15" t="s">
        <v>7</v>
      </c>
      <c r="D2" s="8">
        <v>967000000000</v>
      </c>
      <c r="E2" s="8">
        <v>55500000000000</v>
      </c>
      <c r="F2" s="9">
        <f>D2/E2</f>
        <v>1.7423423423423422E-2</v>
      </c>
      <c r="G2" s="10">
        <f>6.81*10^12</f>
        <v>6810000000000</v>
      </c>
      <c r="H2" s="19">
        <f t="shared" ref="H2:H3" si="0">F2*G2</f>
        <v>118653513513.5135</v>
      </c>
      <c r="I2" s="20">
        <f>EPC_GVA!$B$1*G2</f>
        <v>9261600000</v>
      </c>
      <c r="J2" s="19">
        <f>DLS!$C$2*Balanza2025!G2</f>
        <v>37455000000</v>
      </c>
    </row>
    <row r="3" spans="1:10" ht="150" x14ac:dyDescent="0.25">
      <c r="A3" s="7" t="s">
        <v>27</v>
      </c>
      <c r="B3" s="12" t="s">
        <v>40</v>
      </c>
      <c r="C3" s="16" t="s">
        <v>9</v>
      </c>
      <c r="D3" s="8">
        <v>313000000</v>
      </c>
      <c r="E3" s="8">
        <v>11100000000</v>
      </c>
      <c r="F3" s="9">
        <f>D3/E3</f>
        <v>2.8198198198198198E-2</v>
      </c>
      <c r="G3" s="11">
        <v>5810000000</v>
      </c>
      <c r="H3" s="19">
        <f t="shared" si="0"/>
        <v>163831531.53153154</v>
      </c>
      <c r="I3" s="20">
        <f>EPC_GVA!$B$1*G3</f>
        <v>7901600.0000000009</v>
      </c>
      <c r="J3" s="19">
        <f>DLS!$C$2*Balanza2025!G6</f>
        <v>31955000.000000004</v>
      </c>
    </row>
    <row r="4" spans="1:10" x14ac:dyDescent="0.25">
      <c r="A4" s="5"/>
      <c r="B4" s="6"/>
      <c r="C4" s="5"/>
      <c r="D4" s="5"/>
      <c r="E4" s="5"/>
      <c r="F4" s="5"/>
      <c r="G4" s="5"/>
      <c r="H4" s="5"/>
      <c r="I4" s="5"/>
      <c r="J4" s="5"/>
    </row>
    <row r="5" spans="1:10" x14ac:dyDescent="0.25">
      <c r="A5" s="26" t="s">
        <v>49</v>
      </c>
      <c r="B5" s="26"/>
      <c r="C5" s="26"/>
      <c r="D5" s="26"/>
      <c r="E5" s="26"/>
      <c r="F5" s="26"/>
      <c r="G5" s="26"/>
    </row>
  </sheetData>
  <mergeCells count="1">
    <mergeCell ref="A5:G5"/>
  </mergeCells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zoomScale="140" zoomScaleNormal="140" workbookViewId="0">
      <selection activeCell="B22" sqref="B22"/>
    </sheetView>
  </sheetViews>
  <sheetFormatPr baseColWidth="10" defaultRowHeight="15" x14ac:dyDescent="0.25"/>
  <cols>
    <col min="1" max="1" width="13.28515625" customWidth="1"/>
  </cols>
  <sheetData>
    <row r="1" spans="1:5" ht="90" x14ac:dyDescent="0.25">
      <c r="A1" s="13" t="s">
        <v>18</v>
      </c>
      <c r="B1" s="13" t="s">
        <v>17</v>
      </c>
      <c r="C1" s="13" t="s">
        <v>19</v>
      </c>
      <c r="D1" s="13" t="s">
        <v>20</v>
      </c>
      <c r="E1" s="13" t="s">
        <v>21</v>
      </c>
    </row>
    <row r="2" spans="1:5" ht="30" x14ac:dyDescent="0.25">
      <c r="A2" s="2" t="s">
        <v>23</v>
      </c>
      <c r="B2" s="12" t="s">
        <v>35</v>
      </c>
      <c r="C2" s="3">
        <v>967000000000</v>
      </c>
      <c r="D2" s="3">
        <v>55500000000000</v>
      </c>
      <c r="E2" s="4">
        <f>C2/D2</f>
        <v>1.7423423423423422E-2</v>
      </c>
    </row>
    <row r="3" spans="1:5" ht="30" x14ac:dyDescent="0.25">
      <c r="A3" s="2" t="s">
        <v>24</v>
      </c>
      <c r="B3" s="12" t="s">
        <v>38</v>
      </c>
      <c r="C3" s="3">
        <v>74700</v>
      </c>
      <c r="D3" s="3">
        <v>333000000</v>
      </c>
      <c r="E3" s="4">
        <v>2.0209964411841848E-4</v>
      </c>
    </row>
    <row r="4" spans="1:5" ht="30" x14ac:dyDescent="0.25">
      <c r="A4" s="2" t="s">
        <v>25</v>
      </c>
      <c r="B4" s="12" t="s">
        <v>37</v>
      </c>
      <c r="C4" s="3">
        <v>16200</v>
      </c>
      <c r="D4" s="3">
        <v>4110000</v>
      </c>
      <c r="E4" s="4">
        <f>C4/D4</f>
        <v>3.9416058394160583E-3</v>
      </c>
    </row>
    <row r="5" spans="1:5" x14ac:dyDescent="0.25">
      <c r="A5" s="2" t="s">
        <v>26</v>
      </c>
      <c r="B5" s="12" t="s">
        <v>41</v>
      </c>
      <c r="C5" s="3">
        <v>2810000000</v>
      </c>
      <c r="D5" s="3">
        <v>383000000000</v>
      </c>
      <c r="E5" s="4">
        <f>C5/D5</f>
        <v>7.3368146214099214E-3</v>
      </c>
    </row>
    <row r="6" spans="1:5" ht="30" x14ac:dyDescent="0.25">
      <c r="A6" s="2" t="s">
        <v>27</v>
      </c>
      <c r="B6" s="1" t="s">
        <v>16</v>
      </c>
      <c r="C6" s="3">
        <v>313000000</v>
      </c>
      <c r="D6" s="3">
        <v>11100000000</v>
      </c>
      <c r="E6" s="4">
        <f>C6/D6</f>
        <v>2.8198198198198198E-2</v>
      </c>
    </row>
    <row r="7" spans="1:5" ht="30" x14ac:dyDescent="0.25">
      <c r="A7" s="2" t="s">
        <v>28</v>
      </c>
      <c r="B7" s="1" t="s">
        <v>15</v>
      </c>
      <c r="C7" s="3">
        <v>14500000000000</v>
      </c>
      <c r="D7" s="3">
        <v>294000000000000</v>
      </c>
      <c r="E7" s="4">
        <f>C7/D7</f>
        <v>4.9319727891156462E-2</v>
      </c>
    </row>
    <row r="8" spans="1:5" x14ac:dyDescent="0.25">
      <c r="A8" s="2" t="s">
        <v>29</v>
      </c>
      <c r="B8" s="12" t="s">
        <v>36</v>
      </c>
      <c r="C8" s="3">
        <v>3800000000000</v>
      </c>
      <c r="D8" s="3">
        <v>7190000000000000</v>
      </c>
      <c r="E8" s="4">
        <v>6.7283632722243438E-4</v>
      </c>
    </row>
    <row r="9" spans="1:5" x14ac:dyDescent="0.25">
      <c r="A9" s="2" t="s">
        <v>30</v>
      </c>
      <c r="B9" s="12" t="s">
        <v>39</v>
      </c>
      <c r="C9" s="3">
        <v>130000000000</v>
      </c>
      <c r="D9" s="3">
        <v>78900000000000</v>
      </c>
      <c r="E9" s="4">
        <f>C9/D9</f>
        <v>1.6476552598225602E-3</v>
      </c>
    </row>
    <row r="10" spans="1:5" ht="45" x14ac:dyDescent="0.25">
      <c r="A10" s="2" t="s">
        <v>31</v>
      </c>
      <c r="B10" s="12" t="s">
        <v>42</v>
      </c>
      <c r="C10" s="3">
        <v>3860000</v>
      </c>
      <c r="D10" s="3">
        <v>439000000</v>
      </c>
      <c r="E10" s="4">
        <f>C10/D10</f>
        <v>8.7927107061503418E-3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I33" sqref="I33"/>
    </sheetView>
  </sheetViews>
  <sheetFormatPr baseColWidth="10" defaultRowHeight="15" x14ac:dyDescent="0.25"/>
  <sheetData>
    <row r="1" spans="1:2" x14ac:dyDescent="0.25">
      <c r="A1" s="13" t="s">
        <v>3</v>
      </c>
      <c r="B1" s="18">
        <v>1.3600000000000001E-3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4" sqref="A4"/>
    </sheetView>
  </sheetViews>
  <sheetFormatPr baseColWidth="10" defaultRowHeight="15" x14ac:dyDescent="0.25"/>
  <cols>
    <col min="1" max="1" width="20.140625" bestFit="1" customWidth="1"/>
    <col min="2" max="2" width="23.7109375" bestFit="1" customWidth="1"/>
  </cols>
  <sheetData>
    <row r="1" spans="1:3" x14ac:dyDescent="0.25">
      <c r="A1" s="13" t="s">
        <v>45</v>
      </c>
      <c r="B1" s="13" t="s">
        <v>46</v>
      </c>
      <c r="C1" s="13" t="s">
        <v>47</v>
      </c>
    </row>
    <row r="2" spans="1:3" x14ac:dyDescent="0.25">
      <c r="A2" s="22">
        <v>5.5E-2</v>
      </c>
      <c r="B2" s="22">
        <v>0.1</v>
      </c>
      <c r="C2" s="22">
        <f>A2*B2</f>
        <v>5.5000000000000005E-3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Explanation</vt:lpstr>
      <vt:lpstr>Balanza2025</vt:lpstr>
      <vt:lpstr>LCA</vt:lpstr>
      <vt:lpstr>SoSOS</vt:lpstr>
      <vt:lpstr>GF_Balanza_2025</vt:lpstr>
      <vt:lpstr>EPC_GVA</vt:lpstr>
      <vt:lpstr>DLS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DUVAL Justine 281179</dc:creator>
  <cp:lastModifiedBy>DUVAL Justine 281179</cp:lastModifiedBy>
  <dcterms:created xsi:type="dcterms:W3CDTF">2025-11-10T08:29:49Z</dcterms:created>
  <dcterms:modified xsi:type="dcterms:W3CDTF">2026-09-24T06:01:55Z</dcterms:modified>
</cp:coreProperties>
</file>